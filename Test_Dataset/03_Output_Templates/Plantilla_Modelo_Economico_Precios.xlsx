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Economico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sz val="9"/>
    </font>
    <font>
      <name val="Arial"/>
      <b val="1"/>
      <color rgb="001F3864"/>
      <sz val="9"/>
    </font>
    <font>
      <name val="Arial"/>
      <b val="1"/>
      <color rgb="00FFFFFF"/>
      <sz val="9.5"/>
    </font>
    <font>
      <name val="Arial"/>
      <sz val="9"/>
    </font>
    <font>
      <name val="Arial"/>
      <b val="1"/>
      <sz val="9.5"/>
    </font>
    <font>
      <name val="Arial"/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8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PARÁMETROS COMERCIALES DE LICITACIÓN</t>
        </is>
      </c>
    </row>
    <row r="2">
      <c r="A2" s="2" t="inlineStr">
        <is>
          <t>Tipo de Cambio Oficial (USD a MXN):</t>
        </is>
      </c>
      <c r="B2" s="3" t="n">
        <v>19.5</v>
      </c>
    </row>
    <row r="3">
      <c r="A3" s="2" t="inlineStr">
        <is>
          <t>Tasa de IVA Vigente (México):</t>
        </is>
      </c>
      <c r="B3" s="4" t="n">
        <v>0.16</v>
      </c>
    </row>
    <row r="4">
      <c r="A4" s="2" t="inlineStr">
        <is>
          <t>Margen Mínimo Objetivo Global:</t>
        </is>
      </c>
      <c r="B4" s="4" t="n">
        <v>0.3</v>
      </c>
    </row>
    <row r="5">
      <c r="A5" s="2" t="inlineStr">
        <is>
          <t>Buffer de Volatilidad Cambiaria:</t>
        </is>
      </c>
      <c r="B5" s="4" t="n">
        <v>0.03</v>
      </c>
    </row>
    <row r="7">
      <c r="A7" s="5" t="inlineStr">
        <is>
          <t>Partida</t>
        </is>
      </c>
      <c r="B7" s="5" t="inlineStr">
        <is>
          <t>SKU / Código</t>
        </is>
      </c>
      <c r="C7" s="5" t="inlineStr">
        <is>
          <t>Descripción del Componente / Servicio</t>
        </is>
      </c>
      <c r="D7" s="5" t="inlineStr">
        <is>
          <t>Cant.</t>
        </is>
      </c>
      <c r="E7" s="5" t="inlineStr">
        <is>
          <t>Precio Lista USD</t>
        </is>
      </c>
      <c r="F7" s="5" t="inlineStr">
        <is>
          <t>Desc. OEM (%)</t>
        </is>
      </c>
      <c r="G7" s="5" t="inlineStr">
        <is>
          <t>Costo Unit. USD</t>
        </is>
      </c>
      <c r="H7" s="5" t="inlineStr">
        <is>
          <t>Costo Total USD</t>
        </is>
      </c>
      <c r="I7" s="5" t="inlineStr">
        <is>
          <t>Margen IQSEC (%)</t>
        </is>
      </c>
      <c r="J7" s="5" t="inlineStr">
        <is>
          <t>Precio Venta Unit. USD</t>
        </is>
      </c>
      <c r="K7" s="5" t="inlineStr">
        <is>
          <t>Importe Total USD</t>
        </is>
      </c>
      <c r="L7" s="5" t="inlineStr">
        <is>
          <t>Importe Total MXN</t>
        </is>
      </c>
    </row>
    <row r="8">
      <c r="A8" s="6" t="n">
        <v>1</v>
      </c>
      <c r="B8" s="6" t="inlineStr">
        <is>
          <t>FG-600F</t>
        </is>
      </c>
      <c r="C8" s="6" t="inlineStr">
        <is>
          <t>Appliance Fortinet FortiGate 600F (Cluster HA)</t>
        </is>
      </c>
      <c r="D8" s="6" t="n">
        <v>2</v>
      </c>
      <c r="E8" s="7" t="n">
        <v>24500</v>
      </c>
      <c r="F8" s="8" t="n">
        <v>0.42</v>
      </c>
      <c r="G8" s="7">
        <f>E8*(1-F8)</f>
        <v/>
      </c>
      <c r="H8" s="7">
        <f>D8*G8</f>
        <v/>
      </c>
      <c r="I8" s="8" t="n">
        <v>0.32</v>
      </c>
      <c r="J8" s="7">
        <f>G8/(1-I8)</f>
        <v/>
      </c>
      <c r="K8" s="7">
        <f>D8*J8</f>
        <v/>
      </c>
      <c r="L8" s="7">
        <f>K8*$B$2</f>
        <v/>
      </c>
    </row>
    <row r="9">
      <c r="A9" s="6" t="n">
        <v>2</v>
      </c>
      <c r="B9" s="6" t="inlineStr">
        <is>
          <t>FC-10-F600F-950-02-36</t>
        </is>
      </c>
      <c r="C9" s="6" t="inlineStr">
        <is>
          <t>Suscripción FortiCare Premium + UTP 36M</t>
        </is>
      </c>
      <c r="D9" s="6" t="n">
        <v>2</v>
      </c>
      <c r="E9" s="7" t="n">
        <v>31200</v>
      </c>
      <c r="F9" s="8" t="n">
        <v>0.4</v>
      </c>
      <c r="G9" s="7">
        <f>E9*(1-F9)</f>
        <v/>
      </c>
      <c r="H9" s="7">
        <f>D9*G9</f>
        <v/>
      </c>
      <c r="I9" s="8" t="n">
        <v>0.3</v>
      </c>
      <c r="J9" s="7">
        <f>G9/(1-I9)</f>
        <v/>
      </c>
      <c r="K9" s="7">
        <f>D9*J9</f>
        <v/>
      </c>
      <c r="L9" s="7">
        <f>K9*$B$2</f>
        <v/>
      </c>
    </row>
    <row r="10">
      <c r="A10" s="6" t="n">
        <v>3</v>
      </c>
      <c r="B10" s="6" t="inlineStr">
        <is>
          <t>SPLUNK-ES-25K-EPS</t>
        </is>
      </c>
      <c r="C10" s="6" t="inlineStr">
        <is>
          <t>Plataforma Analítica SIEM Splunk 25k EPS</t>
        </is>
      </c>
      <c r="D10" s="6" t="n">
        <v>1</v>
      </c>
      <c r="E10" s="7" t="n">
        <v>58000</v>
      </c>
      <c r="F10" s="8" t="n">
        <v>0.3</v>
      </c>
      <c r="G10" s="7">
        <f>E10*(1-F10)</f>
        <v/>
      </c>
      <c r="H10" s="7">
        <f>D10*G10</f>
        <v/>
      </c>
      <c r="I10" s="8" t="n">
        <v>0.28</v>
      </c>
      <c r="J10" s="7">
        <f>G10/(1-I10)</f>
        <v/>
      </c>
      <c r="K10" s="7">
        <f>D10*J10</f>
        <v/>
      </c>
      <c r="L10" s="7">
        <f>K10*$B$2</f>
        <v/>
      </c>
    </row>
    <row r="11">
      <c r="A11" s="6" t="n">
        <v>4</v>
      </c>
      <c r="B11" s="6" t="inlineStr">
        <is>
          <t>CS-FALCON-COMPLETE-1K</t>
        </is>
      </c>
      <c r="C11" s="6" t="inlineStr">
        <is>
          <t>Protección XDR Falcon Complete (2,500 hosts)</t>
        </is>
      </c>
      <c r="D11" s="6" t="n">
        <v>2.5</v>
      </c>
      <c r="E11" s="7" t="n">
        <v>45000</v>
      </c>
      <c r="F11" s="8" t="n">
        <v>0.32</v>
      </c>
      <c r="G11" s="7">
        <f>E11*(1-F11)</f>
        <v/>
      </c>
      <c r="H11" s="7">
        <f>D11*G11</f>
        <v/>
      </c>
      <c r="I11" s="8" t="n">
        <v>0.25</v>
      </c>
      <c r="J11" s="7">
        <f>G11/(1-I11)</f>
        <v/>
      </c>
      <c r="K11" s="7">
        <f>D11*J11</f>
        <v/>
      </c>
      <c r="L11" s="7">
        <f>K11*$B$2</f>
        <v/>
      </c>
    </row>
    <row r="12">
      <c r="A12" s="6" t="n">
        <v>5</v>
      </c>
      <c r="B12" s="6" t="inlineStr">
        <is>
          <t>SRV-IQSEC-DES-NGFW</t>
        </is>
      </c>
      <c r="C12" s="6" t="inlineStr">
        <is>
          <t>Servicios Profesionales de Diseño e Implementación</t>
        </is>
      </c>
      <c r="D12" s="6" t="n">
        <v>1</v>
      </c>
      <c r="E12" s="7" t="n">
        <v>8500</v>
      </c>
      <c r="F12" s="8" t="n">
        <v>0</v>
      </c>
      <c r="G12" s="7">
        <f>E12*(1-F12)</f>
        <v/>
      </c>
      <c r="H12" s="7">
        <f>D12*G12</f>
        <v/>
      </c>
      <c r="I12" s="8" t="n">
        <v>0.35</v>
      </c>
      <c r="J12" s="7">
        <f>G12/(1-I12)</f>
        <v/>
      </c>
      <c r="K12" s="7">
        <f>D12*J12</f>
        <v/>
      </c>
      <c r="L12" s="7">
        <f>K12*$B$2</f>
        <v/>
      </c>
    </row>
    <row r="13">
      <c r="A13" s="6" t="n">
        <v>6</v>
      </c>
      <c r="B13" s="6" t="inlineStr">
        <is>
          <t>SRV-IQSEC-SOC-24X7-36M</t>
        </is>
      </c>
      <c r="C13" s="6" t="inlineStr">
        <is>
          <t>Operación de Ciberdefensa SOC 24x7 (36 meses)</t>
        </is>
      </c>
      <c r="D13" s="6" t="n">
        <v>1</v>
      </c>
      <c r="E13" s="7" t="n">
        <v>72000</v>
      </c>
      <c r="F13" s="8" t="n">
        <v>0</v>
      </c>
      <c r="G13" s="7">
        <f>E13*(1-F13)</f>
        <v/>
      </c>
      <c r="H13" s="7">
        <f>D13*G13</f>
        <v/>
      </c>
      <c r="I13" s="8" t="n">
        <v>0.32</v>
      </c>
      <c r="J13" s="7">
        <f>G13/(1-I13)</f>
        <v/>
      </c>
      <c r="K13" s="7">
        <f>D13*J13</f>
        <v/>
      </c>
      <c r="L13" s="7">
        <f>K13*$B$2</f>
        <v/>
      </c>
    </row>
    <row r="15">
      <c r="J15" s="9" t="inlineStr">
        <is>
          <t>SUBTOTAL ANTES DE IMPUESTOS:</t>
        </is>
      </c>
      <c r="K15" s="10">
        <f>SUM(K8:K13)</f>
        <v/>
      </c>
      <c r="L15" s="10">
        <f>SUM(L8:L13)</f>
        <v/>
      </c>
    </row>
    <row r="16">
      <c r="J16" s="9" t="inlineStr">
        <is>
          <t>I.V.A. (16% TRASLADADO):</t>
        </is>
      </c>
      <c r="K16" s="10">
        <f>K15*$B$3</f>
        <v/>
      </c>
      <c r="L16" s="10">
        <f>L15*$B$3</f>
        <v/>
      </c>
    </row>
    <row r="17">
      <c r="J17" s="11" t="inlineStr">
        <is>
          <t>IMPORTE TOTAL DE LA OFERTA:</t>
        </is>
      </c>
      <c r="K17" s="12">
        <f>K15+K16</f>
        <v/>
      </c>
      <c r="L17" s="12">
        <f>L15+L16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2026-09-25T11:50:43Z</dcterms:created>
  <dcterms:modified xmlns:dcterms="http://purl.org/dc/terms/" xmlns:xsi="http://www.w3.org/2001/XMLSchema-instance" xsi:type="dcterms:W3CDTF">2026-09-25T11:50:43Z</dcterms:modified>
</cp:coreProperties>
</file>