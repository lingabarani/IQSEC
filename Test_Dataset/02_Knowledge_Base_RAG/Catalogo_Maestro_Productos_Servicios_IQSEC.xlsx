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Maestro_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6" customWidth="1" min="4" max="4"/>
    <col width="40" customWidth="1" min="5" max="5"/>
    <col width="45" customWidth="1" min="6" max="6"/>
    <col width="10" customWidth="1" min="7" max="7"/>
    <col width="16" customWidth="1" min="8" max="8"/>
    <col width="14" customWidth="1" min="9" max="9"/>
    <col width="16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SKU</t>
        </is>
      </c>
      <c r="B1" s="1" t="inlineStr">
        <is>
          <t>Fabricante</t>
        </is>
      </c>
      <c r="C1" s="1" t="inlineStr">
        <is>
          <t>Línea de Producto</t>
        </is>
      </c>
      <c r="D1" s="1" t="inlineStr">
        <is>
          <t>Modelo / Nombre</t>
        </is>
      </c>
      <c r="E1" s="1" t="inlineStr">
        <is>
          <t>Descripción Técnica Detallada</t>
        </is>
      </c>
      <c r="F1" s="1" t="inlineStr">
        <is>
          <t>Especificaciones Clave (Throughput, Puertos, RAM)</t>
        </is>
      </c>
      <c r="G1" s="1" t="inlineStr">
        <is>
          <t>Unidad</t>
        </is>
      </c>
      <c r="H1" s="1" t="inlineStr">
        <is>
          <t>Precio Lista (USD)</t>
        </is>
      </c>
      <c r="I1" s="1" t="inlineStr">
        <is>
          <t>Descuento Partner (%)</t>
        </is>
      </c>
      <c r="J1" s="1" t="inlineStr">
        <is>
          <t>Costo Base (USD)</t>
        </is>
      </c>
      <c r="K1" s="1" t="inlineStr">
        <is>
          <t>Días Implementación</t>
        </is>
      </c>
      <c r="L1" s="1" t="inlineStr">
        <is>
          <t>Categoría RAG</t>
        </is>
      </c>
      <c r="M1" s="1" t="inlineStr">
        <is>
          <t>Estado</t>
        </is>
      </c>
    </row>
    <row r="2">
      <c r="A2" s="2" t="inlineStr">
        <is>
          <t>FG-600F</t>
        </is>
      </c>
      <c r="B2" s="2" t="inlineStr">
        <is>
          <t>Fortinet</t>
        </is>
      </c>
      <c r="C2" s="2" t="inlineStr">
        <is>
          <t>NGFW Hardware</t>
        </is>
      </c>
      <c r="D2" s="2" t="inlineStr">
        <is>
          <t>FortiGate 600F Appliance</t>
        </is>
      </c>
      <c r="E2" s="2" t="inlineStr">
        <is>
          <t>Next-Gen Firewall de alta gama para centros de datos y perímetro corporativo</t>
        </is>
      </c>
      <c r="F2" s="2" t="inlineStr">
        <is>
          <t>Firewall: 139 Gbps, DPI-SSL: 17.5 Gbps, IPS: 20 Gbps, 4x 100GE, 8x 25GE, 16x 10GE SFP+</t>
        </is>
      </c>
      <c r="G2" s="2" t="inlineStr">
        <is>
          <t>Pieza</t>
        </is>
      </c>
      <c r="H2" s="3" t="n">
        <v>24500</v>
      </c>
      <c r="I2" s="4" t="n">
        <v>42</v>
      </c>
      <c r="J2" s="3">
        <f>H2*(1-I2/100)</f>
        <v/>
      </c>
      <c r="K2" s="2" t="n">
        <v>5</v>
      </c>
      <c r="L2" s="2" t="inlineStr">
        <is>
          <t>Perimeter Security</t>
        </is>
      </c>
      <c r="M2" s="2" t="inlineStr">
        <is>
          <t>Activo</t>
        </is>
      </c>
    </row>
    <row r="3">
      <c r="A3" s="2" t="inlineStr">
        <is>
          <t>FC-10-F600F-950-02-36</t>
        </is>
      </c>
      <c r="B3" s="2" t="inlineStr">
        <is>
          <t>Fortinet</t>
        </is>
      </c>
      <c r="C3" s="2" t="inlineStr">
        <is>
          <t>Suscripción Licencia</t>
        </is>
      </c>
      <c r="D3" s="2" t="inlineStr">
        <is>
          <t>FortiCare Premium + UTP 36M</t>
        </is>
      </c>
      <c r="E3" s="2" t="inlineStr">
        <is>
          <t>Soporte FortiCare Premium 24x7 y paquete UTP (IPS, Antivirus, Web Filtering, Antispam) por 36 meses</t>
        </is>
      </c>
      <c r="F3" s="2" t="inlineStr">
        <is>
          <t>Cobertura 3 años soporte 24x7x365 con reemplazo avanzado de hardware</t>
        </is>
      </c>
      <c r="G3" s="2" t="inlineStr">
        <is>
          <t>Licencia</t>
        </is>
      </c>
      <c r="H3" s="3" t="n">
        <v>31200</v>
      </c>
      <c r="I3" s="4" t="n">
        <v>40</v>
      </c>
      <c r="J3" s="3">
        <f>H3*(1-I3/100)</f>
        <v/>
      </c>
      <c r="K3" s="2" t="n">
        <v>0</v>
      </c>
      <c r="L3" s="2" t="inlineStr">
        <is>
          <t>Security Subscription</t>
        </is>
      </c>
      <c r="M3" s="2" t="inlineStr">
        <is>
          <t>Activo</t>
        </is>
      </c>
    </row>
    <row r="4">
      <c r="A4" s="2" t="inlineStr">
        <is>
          <t>FG-1000F</t>
        </is>
      </c>
      <c r="B4" s="2" t="inlineStr">
        <is>
          <t>Fortinet</t>
        </is>
      </c>
      <c r="C4" s="2" t="inlineStr">
        <is>
          <t>NGFW Hardware</t>
        </is>
      </c>
      <c r="D4" s="2" t="inlineStr">
        <is>
          <t>FortiGate 1000F Appliance</t>
        </is>
      </c>
      <c r="E4" s="2" t="inlineStr">
        <is>
          <t>Next-Gen Firewall para grandes centros de datos y nubes privadas</t>
        </is>
      </c>
      <c r="F4" s="2" t="inlineStr">
        <is>
          <t>Firewall: 198 Gbps, DPI-SSL: 24 Gbps, IPS: 32 Gbps, 8x 100GE, 16x 25GE, 32x 10GE</t>
        </is>
      </c>
      <c r="G4" s="2" t="inlineStr">
        <is>
          <t>Pieza</t>
        </is>
      </c>
      <c r="H4" s="3" t="n">
        <v>48000</v>
      </c>
      <c r="I4" s="4" t="n">
        <v>45</v>
      </c>
      <c r="J4" s="3">
        <f>H4*(1-I4/100)</f>
        <v/>
      </c>
      <c r="K4" s="2" t="n">
        <v>8</v>
      </c>
      <c r="L4" s="2" t="inlineStr">
        <is>
          <t>Perimeter Security</t>
        </is>
      </c>
      <c r="M4" s="2" t="inlineStr">
        <is>
          <t>Activo</t>
        </is>
      </c>
    </row>
    <row r="5">
      <c r="A5" s="2" t="inlineStr">
        <is>
          <t>FAZ-1000F</t>
        </is>
      </c>
      <c r="B5" s="2" t="inlineStr">
        <is>
          <t>Fortinet</t>
        </is>
      </c>
      <c r="C5" s="2" t="inlineStr">
        <is>
          <t>Gestión y Logs</t>
        </is>
      </c>
      <c r="D5" s="2" t="inlineStr">
        <is>
          <t>FortiAnalyzer 1000F</t>
        </is>
      </c>
      <c r="E5" s="2" t="inlineStr">
        <is>
          <t>Appliance centralizado de registros, analítica y cumplimiento normativo</t>
        </is>
      </c>
      <c r="F5" s="2" t="inlineStr">
        <is>
          <t>Ingesta: 10,000 logs/seg (200 GB/día), Almacenamiento: 48 TB RAID</t>
        </is>
      </c>
      <c r="G5" s="2" t="inlineStr">
        <is>
          <t>Pieza</t>
        </is>
      </c>
      <c r="H5" s="3" t="n">
        <v>18500</v>
      </c>
      <c r="I5" s="4" t="n">
        <v>38</v>
      </c>
      <c r="J5" s="3">
        <f>H5*(1-I5/100)</f>
        <v/>
      </c>
      <c r="K5" s="2" t="n">
        <v>4</v>
      </c>
      <c r="L5" s="2" t="inlineStr">
        <is>
          <t>Security Management</t>
        </is>
      </c>
      <c r="M5" s="2" t="inlineStr">
        <is>
          <t>Activo</t>
        </is>
      </c>
    </row>
    <row r="6">
      <c r="A6" s="2" t="inlineStr">
        <is>
          <t>FSM-ADV-5K</t>
        </is>
      </c>
      <c r="B6" s="2" t="inlineStr">
        <is>
          <t>Fortinet</t>
        </is>
      </c>
      <c r="C6" s="2" t="inlineStr">
        <is>
          <t>SIEM Software</t>
        </is>
      </c>
      <c r="D6" s="2" t="inlineStr">
        <is>
          <t>FortiSIEM Advanced 5000 EPS</t>
        </is>
      </c>
      <c r="E6" s="2" t="inlineStr">
        <is>
          <t>Plataforma SIEM multi-tenant con correlación de eventos y monitoreo de desempeño (FOC)</t>
        </is>
      </c>
      <c r="F6" s="2" t="inlineStr">
        <is>
          <t>Capacidad: 5,000 EPS sostenidos, correlación en memoria, integración CMDB</t>
        </is>
      </c>
      <c r="G6" s="2" t="inlineStr">
        <is>
          <t>Licencia</t>
        </is>
      </c>
      <c r="H6" s="3" t="n">
        <v>22000</v>
      </c>
      <c r="I6" s="4" t="n">
        <v>35</v>
      </c>
      <c r="J6" s="3">
        <f>H6*(1-I6/100)</f>
        <v/>
      </c>
      <c r="K6" s="2" t="n">
        <v>6</v>
      </c>
      <c r="L6" s="2" t="inlineStr">
        <is>
          <t>SIEM Platform</t>
        </is>
      </c>
      <c r="M6" s="2" t="inlineStr">
        <is>
          <t>Activo</t>
        </is>
      </c>
    </row>
    <row r="7">
      <c r="A7" s="2" t="inlineStr">
        <is>
          <t>PAN-PA-3410</t>
        </is>
      </c>
      <c r="B7" s="2" t="inlineStr">
        <is>
          <t>Palo Alto</t>
        </is>
      </c>
      <c r="C7" s="2" t="inlineStr">
        <is>
          <t>NGFW Hardware</t>
        </is>
      </c>
      <c r="D7" s="2" t="inlineStr">
        <is>
          <t>Palo Alto PA-3410</t>
        </is>
      </c>
      <c r="E7" s="2" t="inlineStr">
        <is>
          <t>Next-Generation Firewall perimetral con prevención de amenazas basada en ML</t>
        </is>
      </c>
      <c r="F7" s="2" t="inlineStr">
        <is>
          <t>Firewall: 31 Gbps, Threat Prevention: 14 Gbps, SSL Decrypt: 9 Gbps, 12x 10GE SFP+</t>
        </is>
      </c>
      <c r="G7" s="2" t="inlineStr">
        <is>
          <t>Pieza</t>
        </is>
      </c>
      <c r="H7" s="3" t="n">
        <v>21500</v>
      </c>
      <c r="I7" s="4" t="n">
        <v>38</v>
      </c>
      <c r="J7" s="3">
        <f>H7*(1-I7/100)</f>
        <v/>
      </c>
      <c r="K7" s="2" t="n">
        <v>5</v>
      </c>
      <c r="L7" s="2" t="inlineStr">
        <is>
          <t>Perimeter Security</t>
        </is>
      </c>
      <c r="M7" s="2" t="inlineStr">
        <is>
          <t>Activo</t>
        </is>
      </c>
    </row>
    <row r="8">
      <c r="A8" s="2" t="inlineStr">
        <is>
          <t>PAN-PA-3410-TP-3YR</t>
        </is>
      </c>
      <c r="B8" s="2" t="inlineStr">
        <is>
          <t>Palo Alto</t>
        </is>
      </c>
      <c r="C8" s="2" t="inlineStr">
        <is>
          <t>Suscripción Licencia</t>
        </is>
      </c>
      <c r="D8" s="2" t="inlineStr">
        <is>
          <t>Threat Prevention Sub 3YR</t>
        </is>
      </c>
      <c r="E8" s="2" t="inlineStr">
        <is>
          <t>Suscripción de prevención de intrusiones y malware avanzado por 3 años</t>
        </is>
      </c>
      <c r="F8" s="2" t="inlineStr">
        <is>
          <t>Actualización de firmas en tiempo real, bloqueo de exploits de día cero</t>
        </is>
      </c>
      <c r="G8" s="2" t="inlineStr">
        <is>
          <t>Licencia</t>
        </is>
      </c>
      <c r="H8" s="3" t="n">
        <v>19800</v>
      </c>
      <c r="I8" s="4" t="n">
        <v>35</v>
      </c>
      <c r="J8" s="3">
        <f>H8*(1-I8/100)</f>
        <v/>
      </c>
      <c r="K8" s="2" t="n">
        <v>0</v>
      </c>
      <c r="L8" s="2" t="inlineStr">
        <is>
          <t>Security Subscription</t>
        </is>
      </c>
      <c r="M8" s="2" t="inlineStr">
        <is>
          <t>Activo</t>
        </is>
      </c>
    </row>
    <row r="9">
      <c r="A9" s="2" t="inlineStr">
        <is>
          <t>PAN-PA-5410</t>
        </is>
      </c>
      <c r="B9" s="2" t="inlineStr">
        <is>
          <t>Palo Alto</t>
        </is>
      </c>
      <c r="C9" s="2" t="inlineStr">
        <is>
          <t>NGFW Hardware</t>
        </is>
      </c>
      <c r="D9" s="2" t="inlineStr">
        <is>
          <t>Palo Alto PA-5410</t>
        </is>
      </c>
      <c r="E9" s="2" t="inlineStr">
        <is>
          <t>Firewall de ultra alto desempeño para data centers empresariales</t>
        </is>
      </c>
      <c r="F9" s="2" t="inlineStr">
        <is>
          <t>Firewall: 110 Gbps, Threat Prevention: 52 Gbps, SSL Decrypt: 34 Gbps, 8x 100GE</t>
        </is>
      </c>
      <c r="G9" s="2" t="inlineStr">
        <is>
          <t>Pieza</t>
        </is>
      </c>
      <c r="H9" s="3" t="n">
        <v>65000</v>
      </c>
      <c r="I9" s="4" t="n">
        <v>40</v>
      </c>
      <c r="J9" s="3">
        <f>H9*(1-I9/100)</f>
        <v/>
      </c>
      <c r="K9" s="2" t="n">
        <v>10</v>
      </c>
      <c r="L9" s="2" t="inlineStr">
        <is>
          <t>Perimeter Security</t>
        </is>
      </c>
      <c r="M9" s="2" t="inlineStr">
        <is>
          <t>Activo</t>
        </is>
      </c>
    </row>
    <row r="10">
      <c r="A10" s="2" t="inlineStr">
        <is>
          <t>C3130-FPR-K9</t>
        </is>
      </c>
      <c r="B10" s="2" t="inlineStr">
        <is>
          <t>Cisco</t>
        </is>
      </c>
      <c r="C10" s="2" t="inlineStr">
        <is>
          <t>NGFW Hardware</t>
        </is>
      </c>
      <c r="D10" s="2" t="inlineStr">
        <is>
          <t>Cisco Secure Firewall 3130</t>
        </is>
      </c>
      <c r="E10" s="2" t="inlineStr">
        <is>
          <t>Appliance perimetral híbrido con tecnología Secure Firewall Threat Defense</t>
        </is>
      </c>
      <c r="F10" s="2" t="inlineStr">
        <is>
          <t>Firewall: 82 Gbps, IPS: 38 Gbps, VPN IPsec: 42 Gbps, 8x 10GE SFP+, 8x 25GE SFP28</t>
        </is>
      </c>
      <c r="G10" s="2" t="inlineStr">
        <is>
          <t>Pieza</t>
        </is>
      </c>
      <c r="H10" s="3" t="n">
        <v>28000</v>
      </c>
      <c r="I10" s="4" t="n">
        <v>44</v>
      </c>
      <c r="J10" s="3">
        <f>H10*(1-I10/100)</f>
        <v/>
      </c>
      <c r="K10" s="2" t="n">
        <v>6</v>
      </c>
      <c r="L10" s="2" t="inlineStr">
        <is>
          <t>Perimeter Security</t>
        </is>
      </c>
      <c r="M10" s="2" t="inlineStr">
        <is>
          <t>Activo</t>
        </is>
      </c>
    </row>
    <row r="11">
      <c r="A11" s="2" t="inlineStr">
        <is>
          <t>CS-FALCON-COMPLETE-1K</t>
        </is>
      </c>
      <c r="B11" s="2" t="inlineStr">
        <is>
          <t>CrowdStrike</t>
        </is>
      </c>
      <c r="C11" s="2" t="inlineStr">
        <is>
          <t>EDR / MDR Cloud</t>
        </is>
      </c>
      <c r="D11" s="2" t="inlineStr">
        <is>
          <t>Falcon Complete (1000 Hosts)</t>
        </is>
      </c>
      <c r="E11" s="2" t="inlineStr">
        <is>
          <t>Plataforma XDR gestionada 24x7 con remediación quirúrgica automatizada de endpoints</t>
        </is>
      </c>
      <c r="F11" s="2" t="inlineStr">
        <is>
          <t>Detección basada en comportamiento, Threat Hunting proactivo, garantía $1M USD</t>
        </is>
      </c>
      <c r="G11" s="2" t="inlineStr">
        <is>
          <t>Suscripción</t>
        </is>
      </c>
      <c r="H11" s="3" t="n">
        <v>45000</v>
      </c>
      <c r="I11" s="4" t="n">
        <v>32</v>
      </c>
      <c r="J11" s="3">
        <f>H11*(1-I11/100)</f>
        <v/>
      </c>
      <c r="K11" s="2" t="n">
        <v>3</v>
      </c>
      <c r="L11" s="2" t="inlineStr">
        <is>
          <t>Endpoint XDR</t>
        </is>
      </c>
      <c r="M11" s="2" t="inlineStr">
        <is>
          <t>Activo</t>
        </is>
      </c>
    </row>
    <row r="12">
      <c r="A12" s="2" t="inlineStr">
        <is>
          <t>SPLUNK-ES-25K-EPS</t>
        </is>
      </c>
      <c r="B12" s="2" t="inlineStr">
        <is>
          <t>Splunk</t>
        </is>
      </c>
      <c r="C12" s="2" t="inlineStr">
        <is>
          <t>SIEM Cloud/OnPrem</t>
        </is>
      </c>
      <c r="D12" s="2" t="inlineStr">
        <is>
          <t>Splunk Enterprise Security 25k EPS</t>
        </is>
      </c>
      <c r="E12" s="2" t="inlineStr">
        <is>
          <t>Plataforma analítica SIEM líder con correlación avanzada y dashboards ejecutivos</t>
        </is>
      </c>
      <c r="F12" s="2" t="inlineStr">
        <is>
          <t>Ingesta de 25,000 EPS, mapeo nativo MITRE ATT&amp;CK, arquitectura distribuida</t>
        </is>
      </c>
      <c r="G12" s="2" t="inlineStr">
        <is>
          <t>Licencia</t>
        </is>
      </c>
      <c r="H12" s="3" t="n">
        <v>58000</v>
      </c>
      <c r="I12" s="4" t="n">
        <v>30</v>
      </c>
      <c r="J12" s="3">
        <f>H12*(1-I12/100)</f>
        <v/>
      </c>
      <c r="K12" s="2" t="n">
        <v>12</v>
      </c>
      <c r="L12" s="2" t="inlineStr">
        <is>
          <t>SIEM Platform</t>
        </is>
      </c>
      <c r="M12" s="2" t="inlineStr">
        <is>
          <t>Activo</t>
        </is>
      </c>
    </row>
    <row r="13">
      <c r="A13" s="2" t="inlineStr">
        <is>
          <t>SRV-IQSEC-DES-NGFW</t>
        </is>
      </c>
      <c r="B13" s="2" t="inlineStr">
        <is>
          <t>IQSEC</t>
        </is>
      </c>
      <c r="C13" s="2" t="inlineStr">
        <is>
          <t>Servicios Profesionales</t>
        </is>
      </c>
      <c r="D13" s="2" t="inlineStr">
        <is>
          <t>Servicio Diseño e Implementación NGFW</t>
        </is>
      </c>
      <c r="E13" s="2" t="inlineStr">
        <is>
          <t>Servicio llave en mano de arquitectura, migración de reglas, pruebas de estrés y comisionamiento</t>
        </is>
      </c>
      <c r="F13" s="2" t="inlineStr">
        <is>
          <t>Arquitecto Senior certificado + Ingeniero de Campo, metodología ISO 27001</t>
        </is>
      </c>
      <c r="G13" s="2" t="inlineStr">
        <is>
          <t>Servicio</t>
        </is>
      </c>
      <c r="H13" s="3" t="n">
        <v>8500</v>
      </c>
      <c r="I13" s="4" t="n">
        <v>0</v>
      </c>
      <c r="J13" s="3" t="n">
        <v>8500</v>
      </c>
      <c r="K13" s="2" t="n">
        <v>15</v>
      </c>
      <c r="L13" s="2" t="inlineStr">
        <is>
          <t>Professional Services</t>
        </is>
      </c>
      <c r="M13" s="2" t="inlineStr">
        <is>
          <t>Activo</t>
        </is>
      </c>
    </row>
    <row r="14">
      <c r="A14" s="2" t="inlineStr">
        <is>
          <t>SRV-IQSEC-SOC-24X7-36M</t>
        </is>
      </c>
      <c r="B14" s="2" t="inlineStr">
        <is>
          <t>IQSEC</t>
        </is>
      </c>
      <c r="C14" s="2" t="inlineStr">
        <is>
          <t>Servicios Administrados</t>
        </is>
      </c>
      <c r="D14" s="2" t="inlineStr">
        <is>
          <t>Operación SOC Ciberdefensa 36 Meses</t>
        </is>
      </c>
      <c r="E14" s="2" t="inlineStr">
        <is>
          <t>Monitoreo ininterrumpido 24x7x365 con analistas L1, L2, L3 y gestión de incidentes SLA 15 min</t>
        </is>
      </c>
      <c r="F14" s="2" t="inlineStr">
        <is>
          <t>SLA disponibilidad 99.99%, entrega mensual de reportes ejecutivos y de cumplimiento</t>
        </is>
      </c>
      <c r="G14" s="2" t="inlineStr">
        <is>
          <t>Servicio</t>
        </is>
      </c>
      <c r="H14" s="3" t="n">
        <v>72000</v>
      </c>
      <c r="I14" s="4" t="n">
        <v>0</v>
      </c>
      <c r="J14" s="3" t="n">
        <v>72000</v>
      </c>
      <c r="K14" s="2" t="n">
        <v>36</v>
      </c>
      <c r="L14" s="2" t="inlineStr">
        <is>
          <t>Managed Security Services</t>
        </is>
      </c>
      <c r="M14" s="2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2026-09-25T11:48:39Z</dcterms:created>
  <dcterms:modified xmlns:dcterms="http://purl.org/dc/terms/" xmlns:xsi="http://www.w3.org/2001/XMLSchema-instance" xsi:type="dcterms:W3CDTF">2026-09-25T11:48:39Z</dcterms:modified>
</cp:coreProperties>
</file>